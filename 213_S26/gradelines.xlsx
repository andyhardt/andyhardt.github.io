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adelines Including Final Exam" sheetId="1" r:id="rId5"/>
    <sheet state="visible" name="Pre-Final Exam Gradelines" sheetId="2" r:id="rId6"/>
  </sheets>
  <definedNames/>
  <calcPr/>
</workbook>
</file>

<file path=xl/sharedStrings.xml><?xml version="1.0" encoding="utf-8"?>
<sst xmlns="http://schemas.openxmlformats.org/spreadsheetml/2006/main" count="145" uniqueCount="52">
  <si>
    <t>Course</t>
  </si>
  <si>
    <t>Math 213</t>
  </si>
  <si>
    <t>% of Course Completed</t>
  </si>
  <si>
    <t>Semester</t>
  </si>
  <si>
    <t>Spring 2026</t>
  </si>
  <si>
    <t>Fill in the yellow boxes; the rest are used for calculations</t>
  </si>
  <si>
    <t>Homework</t>
  </si>
  <si>
    <t>Your Score</t>
  </si>
  <si>
    <t>Norm Score</t>
  </si>
  <si>
    <t>Total Points</t>
  </si>
  <si>
    <t>Graded?</t>
  </si>
  <si>
    <t>HW1</t>
  </si>
  <si>
    <t>NOTE: Gradelines are listed as the MINIMUM score for each particular grade</t>
  </si>
  <si>
    <t>HW2</t>
  </si>
  <si>
    <t>HW3</t>
  </si>
  <si>
    <t>Disclaimer: until the course is complete, this spreadsheet only represents an in-progress snapshot, and doesn't guarantee any course grade</t>
  </si>
  <si>
    <t>HW4</t>
  </si>
  <si>
    <t>HW5</t>
  </si>
  <si>
    <t>HW6</t>
  </si>
  <si>
    <t>HW7</t>
  </si>
  <si>
    <t>Gradelines</t>
  </si>
  <si>
    <t>Quizzes</t>
  </si>
  <si>
    <t>Midterm 1</t>
  </si>
  <si>
    <t>Midterm 2</t>
  </si>
  <si>
    <t>Midterm 3</t>
  </si>
  <si>
    <t>Final Exam</t>
  </si>
  <si>
    <t>Overall (to date)</t>
  </si>
  <si>
    <t>HW8</t>
  </si>
  <si>
    <t>A</t>
  </si>
  <si>
    <t>HW9</t>
  </si>
  <si>
    <t>A-</t>
  </si>
  <si>
    <t>HW10</t>
  </si>
  <si>
    <t>B+</t>
  </si>
  <si>
    <t>HW11</t>
  </si>
  <si>
    <t>B</t>
  </si>
  <si>
    <t>Total</t>
  </si>
  <si>
    <t>N/A</t>
  </si>
  <si>
    <t>B-</t>
  </si>
  <si>
    <t>C+</t>
  </si>
  <si>
    <t>C</t>
  </si>
  <si>
    <t>Q1</t>
  </si>
  <si>
    <t>C-</t>
  </si>
  <si>
    <t>Q2</t>
  </si>
  <si>
    <t>D+</t>
  </si>
  <si>
    <t>Q3</t>
  </si>
  <si>
    <t>D</t>
  </si>
  <si>
    <t>Q4</t>
  </si>
  <si>
    <t>D-</t>
  </si>
  <si>
    <t>Q5</t>
  </si>
  <si>
    <t>F</t>
  </si>
  <si>
    <t>Current Weight</t>
  </si>
  <si>
    <t>Exams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</si>
</sst>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##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i/>
      <color theme="1"/>
      <name val="Arial"/>
      <scheme val="minor"/>
    </font>
    <font>
      <color theme="1"/>
      <name val="Arial"/>
    </font>
    <font>
      <b/>
      <color theme="1"/>
      <name val="Arial"/>
    </font>
    <font>
      <b/>
      <i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164" xfId="0" applyAlignment="1" applyFont="1" applyNumberFormat="1">
      <alignment horizontal="center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vertical="bottom"/>
    </xf>
    <xf borderId="0" fillId="0" fontId="5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vertical="bottom"/>
    </xf>
    <xf borderId="0" fillId="2" fontId="4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4" numFmtId="0" xfId="0" applyAlignment="1" applyFont="1">
      <alignment horizontal="center" readingOrder="0"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1.88"/>
    <col customWidth="1" min="3" max="4" width="11.25"/>
    <col customWidth="1" min="5" max="5" width="9.5"/>
    <col customWidth="1" min="6" max="6" width="8.25"/>
    <col customWidth="1" min="8" max="14" width="10.88"/>
  </cols>
  <sheetData>
    <row r="1">
      <c r="A1" s="1" t="s">
        <v>0</v>
      </c>
      <c r="B1" s="2" t="s">
        <v>1</v>
      </c>
      <c r="E1" s="3" t="s">
        <v>2</v>
      </c>
    </row>
    <row r="2">
      <c r="A2" s="1" t="s">
        <v>3</v>
      </c>
      <c r="B2" s="2" t="s">
        <v>4</v>
      </c>
      <c r="E2" s="4">
        <f>100*(SUM(F5:F15)/COUNT(F5:F15)*0.15 + SUM(F19:F25)/COUNT(F19:F25)*0.1 + SUM(F29:F31)*0.15 + F32*0.3)</f>
        <v>98.63636364</v>
      </c>
    </row>
    <row r="3">
      <c r="H3" s="5" t="s">
        <v>5</v>
      </c>
    </row>
    <row r="4">
      <c r="B4" s="6" t="s">
        <v>6</v>
      </c>
      <c r="C4" s="7" t="s">
        <v>7</v>
      </c>
      <c r="D4" s="8" t="s">
        <v>8</v>
      </c>
      <c r="E4" s="7" t="s">
        <v>9</v>
      </c>
      <c r="F4" s="7" t="s">
        <v>10</v>
      </c>
    </row>
    <row r="5">
      <c r="B5" s="7" t="s">
        <v>11</v>
      </c>
      <c r="C5" s="9"/>
      <c r="D5" s="8">
        <f t="shared" ref="D5:D15" si="1">C5/E5*20</f>
        <v>0</v>
      </c>
      <c r="E5" s="8">
        <v>20.0</v>
      </c>
      <c r="F5" s="8">
        <v>1.0</v>
      </c>
      <c r="H5" s="10" t="s">
        <v>12</v>
      </c>
    </row>
    <row r="6">
      <c r="B6" s="7" t="s">
        <v>13</v>
      </c>
      <c r="C6" s="9"/>
      <c r="D6" s="8">
        <f t="shared" si="1"/>
        <v>0</v>
      </c>
      <c r="E6" s="8">
        <v>20.0</v>
      </c>
      <c r="F6" s="8">
        <v>1.0</v>
      </c>
      <c r="H6" s="10"/>
    </row>
    <row r="7">
      <c r="B7" s="7" t="s">
        <v>14</v>
      </c>
      <c r="C7" s="9"/>
      <c r="D7" s="8">
        <f t="shared" si="1"/>
        <v>0</v>
      </c>
      <c r="E7" s="8">
        <v>20.0</v>
      </c>
      <c r="F7" s="8">
        <v>1.0</v>
      </c>
      <c r="H7" s="10" t="s">
        <v>15</v>
      </c>
    </row>
    <row r="8">
      <c r="B8" s="7" t="s">
        <v>16</v>
      </c>
      <c r="C8" s="9"/>
      <c r="D8" s="8">
        <f t="shared" si="1"/>
        <v>0</v>
      </c>
      <c r="E8" s="8">
        <v>20.0</v>
      </c>
      <c r="F8" s="8">
        <v>1.0</v>
      </c>
    </row>
    <row r="9">
      <c r="B9" s="7" t="s">
        <v>17</v>
      </c>
      <c r="C9" s="9"/>
      <c r="D9" s="8">
        <f t="shared" si="1"/>
        <v>0</v>
      </c>
      <c r="E9" s="8">
        <v>20.0</v>
      </c>
      <c r="F9" s="8">
        <v>1.0</v>
      </c>
    </row>
    <row r="10">
      <c r="B10" s="8" t="s">
        <v>18</v>
      </c>
      <c r="C10" s="9"/>
      <c r="D10" s="8">
        <f t="shared" si="1"/>
        <v>0</v>
      </c>
      <c r="E10" s="8">
        <v>20.0</v>
      </c>
      <c r="F10" s="8">
        <v>1.0</v>
      </c>
    </row>
    <row r="11">
      <c r="B11" s="8" t="s">
        <v>19</v>
      </c>
      <c r="C11" s="9"/>
      <c r="D11" s="8">
        <f t="shared" si="1"/>
        <v>0</v>
      </c>
      <c r="E11" s="8">
        <v>20.0</v>
      </c>
      <c r="F11" s="8">
        <v>1.0</v>
      </c>
      <c r="H11" s="11" t="s">
        <v>20</v>
      </c>
      <c r="I11" s="8" t="s">
        <v>6</v>
      </c>
      <c r="J11" s="8" t="s">
        <v>21</v>
      </c>
      <c r="K11" s="8" t="s">
        <v>22</v>
      </c>
      <c r="L11" s="8" t="s">
        <v>23</v>
      </c>
      <c r="M11" s="8" t="s">
        <v>24</v>
      </c>
      <c r="N11" s="8" t="s">
        <v>25</v>
      </c>
      <c r="O11" s="8" t="s">
        <v>26</v>
      </c>
    </row>
    <row r="12">
      <c r="B12" s="8" t="s">
        <v>27</v>
      </c>
      <c r="C12" s="9"/>
      <c r="D12" s="8">
        <f t="shared" si="1"/>
        <v>0</v>
      </c>
      <c r="E12" s="8">
        <v>20.0</v>
      </c>
      <c r="F12" s="8">
        <v>1.0</v>
      </c>
      <c r="H12" s="8" t="s">
        <v>28</v>
      </c>
      <c r="I12" s="12">
        <f>0.93*E16</f>
        <v>186</v>
      </c>
      <c r="J12" s="12">
        <f>0.93*E24</f>
        <v>44.64</v>
      </c>
      <c r="K12" s="12">
        <v>75.0</v>
      </c>
      <c r="L12" s="12">
        <v>70.0</v>
      </c>
      <c r="M12" s="12">
        <v>73.0</v>
      </c>
      <c r="N12" s="13">
        <v>111.0</v>
      </c>
      <c r="O12" s="12">
        <f>IF(E16=0, 0, I12/E16)*I25 + IF(E24=0, 0, J12/E24)*J25 + IF(E29=0, 0, K12/E29)*K25 + IF(E30=0, 0, L12/E30)*L25 + IF(E31=0, 0, M12/E31)*M25 + IF(E32=0, 0, N12/E32)*N25</f>
        <v>90.8807628</v>
      </c>
    </row>
    <row r="13">
      <c r="B13" s="8" t="s">
        <v>29</v>
      </c>
      <c r="C13" s="9"/>
      <c r="D13" s="8">
        <f t="shared" si="1"/>
        <v>0</v>
      </c>
      <c r="E13" s="8">
        <v>20.0</v>
      </c>
      <c r="F13" s="8">
        <v>1.0</v>
      </c>
      <c r="H13" s="8" t="s">
        <v>30</v>
      </c>
      <c r="I13" s="12">
        <f>0.9*E16</f>
        <v>180</v>
      </c>
      <c r="J13" s="4">
        <f>0.9*E24</f>
        <v>43.2</v>
      </c>
      <c r="K13" s="12">
        <v>70.0</v>
      </c>
      <c r="L13" s="12">
        <v>66.0</v>
      </c>
      <c r="M13" s="12">
        <v>68.0</v>
      </c>
      <c r="N13" s="13">
        <v>104.0</v>
      </c>
      <c r="O13" s="12">
        <f>IF(E16=0, 0, I13/E16)*I25 + IF(E24=0, 0, J13/E24)*J25 + IF(E29=0, 0, K13/E29)*K25 + IF(E30=0, 0, L13/E30)*L25 + IF(E31=0, 0, M13/E31)*M25 + IF(E32=0, 0, N13/E32)*N25</f>
        <v>85.82249493</v>
      </c>
    </row>
    <row r="14">
      <c r="B14" s="8" t="s">
        <v>31</v>
      </c>
      <c r="C14" s="9"/>
      <c r="D14" s="8">
        <f t="shared" si="1"/>
        <v>0</v>
      </c>
      <c r="E14" s="8">
        <v>20.0</v>
      </c>
      <c r="F14" s="8">
        <v>1.0</v>
      </c>
      <c r="H14" s="8" t="s">
        <v>32</v>
      </c>
      <c r="I14" s="12">
        <f>0.87*E16</f>
        <v>174</v>
      </c>
      <c r="J14" s="4">
        <f>0.87*E24</f>
        <v>41.76</v>
      </c>
      <c r="K14" s="12">
        <v>65.0</v>
      </c>
      <c r="L14" s="12">
        <v>62.0</v>
      </c>
      <c r="M14" s="12">
        <v>63.0</v>
      </c>
      <c r="N14" s="13">
        <v>97.0</v>
      </c>
      <c r="O14" s="12">
        <f>IF(E16=0, 0, I14/E16)*I25 + IF(E24=0, 0, J14/E24)*J25 + IF(E29=0, 0, K14/E29)*K25 + IF(E30=0, 0, L14/E30)*L25 + IF(E31=0, 0, M14/E31)*M25 + IF(E32=0, 0, N14/E32)*N25</f>
        <v>80.76422706</v>
      </c>
    </row>
    <row r="15">
      <c r="B15" s="8" t="s">
        <v>33</v>
      </c>
      <c r="C15" s="9"/>
      <c r="D15" s="8">
        <f t="shared" si="1"/>
        <v>0</v>
      </c>
      <c r="E15" s="8">
        <v>20.0</v>
      </c>
      <c r="F15" s="8">
        <v>0.0</v>
      </c>
      <c r="H15" s="8" t="s">
        <v>34</v>
      </c>
      <c r="I15" s="12">
        <f>0.83*E16</f>
        <v>166</v>
      </c>
      <c r="J15" s="4">
        <f>0.83*E24</f>
        <v>39.84</v>
      </c>
      <c r="K15" s="12">
        <v>60.0</v>
      </c>
      <c r="L15" s="12">
        <v>58.0</v>
      </c>
      <c r="M15" s="12">
        <v>58.0</v>
      </c>
      <c r="N15" s="13">
        <v>89.0</v>
      </c>
      <c r="O15" s="12">
        <f>IF(E16=0, 0, I15/E16)*I25 + IF(E24=0, 0, J15/E24)*J25 + IF(E29=0, 0, K15/E29)*K25 + IF(E30=0, 0, L15/E30)*L25 + IF(E31=0, 0, M15/E31)*M25 + IF(E32=0, 0, N15/E32)*N25</f>
        <v>75.21205675</v>
      </c>
    </row>
    <row r="16">
      <c r="B16" s="8" t="s">
        <v>35</v>
      </c>
      <c r="C16" s="8" t="s">
        <v>36</v>
      </c>
      <c r="D16" s="8">
        <f t="array" ref="D16">SUM(IFERROR(LARGE(D5:D15,{1,2,3,4,5,6,7,8,9,10}),0))</f>
        <v>0</v>
      </c>
      <c r="E16" s="8">
        <f>20*MIN(SUM(F5:F15),COUNT(F5:F15)-1)</f>
        <v>200</v>
      </c>
      <c r="F16" s="8"/>
      <c r="H16" s="8" t="s">
        <v>37</v>
      </c>
      <c r="I16" s="12">
        <f>0.8*E16</f>
        <v>160</v>
      </c>
      <c r="J16" s="4">
        <f>0.8*E24</f>
        <v>38.4</v>
      </c>
      <c r="K16" s="12">
        <v>55.0</v>
      </c>
      <c r="L16" s="12">
        <v>54.0</v>
      </c>
      <c r="M16" s="12">
        <v>53.0</v>
      </c>
      <c r="N16" s="13">
        <v>81.0</v>
      </c>
      <c r="O16" s="12">
        <f>IF(E16=0, 0, I16/E16)*I25 + IF(E24=0, 0, J16/E24)*J25 + IF(E29=0, 0, K16/E29)*K25 + IF(E30=0, 0, L16/E30)*L25 + IF(E31=0, 0, M16/E31)*M25 + IF(E32=0, 0, N16/E32)*N25</f>
        <v>69.90988644</v>
      </c>
    </row>
    <row r="17">
      <c r="B17" s="7"/>
      <c r="C17" s="7"/>
      <c r="D17" s="7"/>
      <c r="E17" s="7"/>
      <c r="F17" s="7"/>
      <c r="H17" s="8" t="s">
        <v>38</v>
      </c>
      <c r="I17" s="4">
        <f>0.77*E16</f>
        <v>154</v>
      </c>
      <c r="J17" s="4">
        <f>0.77*E24</f>
        <v>36.96</v>
      </c>
      <c r="K17" s="12">
        <v>50.0</v>
      </c>
      <c r="L17" s="12">
        <v>50.0</v>
      </c>
      <c r="M17" s="12">
        <v>47.0</v>
      </c>
      <c r="N17" s="13">
        <v>73.0</v>
      </c>
      <c r="O17" s="12">
        <f>IF(E16=0, 0, I17/E16)*I25 + IF(E24=0, 0, J17/E24)*J25 + IF(E29=0, 0, K17/E29)*K25 + IF(E30=0, 0, L17/E30)*L25 + IF(E31=0, 0, M17/E31)*M25 + IF(E32=0, 0, N17/E32)*N25</f>
        <v>64.41784271</v>
      </c>
    </row>
    <row r="18">
      <c r="B18" s="11" t="s">
        <v>21</v>
      </c>
      <c r="C18" s="7" t="s">
        <v>7</v>
      </c>
      <c r="D18" s="8" t="s">
        <v>8</v>
      </c>
      <c r="E18" s="7" t="s">
        <v>9</v>
      </c>
      <c r="F18" s="7" t="s">
        <v>10</v>
      </c>
      <c r="H18" s="8" t="s">
        <v>39</v>
      </c>
      <c r="I18" s="4">
        <f>0.73*E16</f>
        <v>146</v>
      </c>
      <c r="J18" s="4">
        <f>0.73*E24</f>
        <v>35.04</v>
      </c>
      <c r="K18" s="12">
        <v>44.0</v>
      </c>
      <c r="L18" s="12">
        <v>46.0</v>
      </c>
      <c r="M18" s="12">
        <v>41.0</v>
      </c>
      <c r="N18" s="13">
        <v>65.0</v>
      </c>
      <c r="O18" s="12">
        <f>IF(E16=0, 0, I18/E16)*I25 + IF(E24=0, 0, J18/E24)*J25 + IF(E29=0, 0, K18/E29)*K25 + IF(E30=0, 0, L18/E30)*L25 + IF(E31=0, 0, M18/E31)*M25 + IF(E32=0, 0, N18/E32)*N25</f>
        <v>58.49932839</v>
      </c>
    </row>
    <row r="19">
      <c r="B19" s="8" t="s">
        <v>40</v>
      </c>
      <c r="C19" s="9"/>
      <c r="D19" s="8">
        <f t="shared" ref="D19:D23" si="2">C19/E19*12</f>
        <v>0</v>
      </c>
      <c r="E19" s="8">
        <v>12.0</v>
      </c>
      <c r="F19" s="8">
        <v>1.0</v>
      </c>
      <c r="H19" s="8" t="s">
        <v>41</v>
      </c>
      <c r="I19" s="12">
        <f>0.7*E16</f>
        <v>140</v>
      </c>
      <c r="J19" s="4">
        <f>0.7*E24</f>
        <v>33.6</v>
      </c>
      <c r="K19" s="12">
        <v>38.0</v>
      </c>
      <c r="L19" s="12">
        <v>40.0</v>
      </c>
      <c r="M19" s="12">
        <v>35.0</v>
      </c>
      <c r="N19" s="13">
        <v>57.0</v>
      </c>
      <c r="O19" s="12">
        <f>IF(E16=0, 0, I19/E16)*I25 + IF(E24=0, 0, J19/E24)*J25 + IF(E29=0, 0, K19/E29)*K25 + IF(E30=0, 0, L19/E30)*L25 + IF(E31=0, 0, M19/E31)*M25 + IF(E32=0, 0, N19/E32)*N25</f>
        <v>52.44619869</v>
      </c>
    </row>
    <row r="20">
      <c r="B20" s="8" t="s">
        <v>42</v>
      </c>
      <c r="C20" s="9"/>
      <c r="D20" s="8">
        <f t="shared" si="2"/>
        <v>0</v>
      </c>
      <c r="E20" s="8">
        <v>12.0</v>
      </c>
      <c r="F20" s="8">
        <v>1.0</v>
      </c>
      <c r="H20" s="8" t="s">
        <v>43</v>
      </c>
      <c r="I20" s="12">
        <f>0.67*E16</f>
        <v>134</v>
      </c>
      <c r="J20" s="4">
        <f>0.67*E24</f>
        <v>32.16</v>
      </c>
      <c r="K20" s="12">
        <v>32.0</v>
      </c>
      <c r="L20" s="12">
        <v>34.0</v>
      </c>
      <c r="M20" s="12">
        <v>28.0</v>
      </c>
      <c r="N20" s="13">
        <v>47.0</v>
      </c>
      <c r="O20" s="12">
        <f>IF(E16=0, 0, I20/E16)*I25 + IF(E24=0, 0, J20/E24)*J25 + IF(E29=0, 0, K20/E29)*K25 + IF(E30=0, 0, L20/E30)*L25 + IF(E31=0, 0, M20/E31)*M25 + IF(E32=0, 0, N20/E32)*N25</f>
        <v>45.71539069</v>
      </c>
    </row>
    <row r="21">
      <c r="B21" s="8" t="s">
        <v>44</v>
      </c>
      <c r="C21" s="9"/>
      <c r="D21" s="8">
        <f t="shared" si="2"/>
        <v>0</v>
      </c>
      <c r="E21" s="8">
        <v>12.0</v>
      </c>
      <c r="F21" s="8">
        <v>1.0</v>
      </c>
      <c r="H21" s="8" t="s">
        <v>45</v>
      </c>
      <c r="I21" s="12">
        <f>0.63*E16</f>
        <v>126</v>
      </c>
      <c r="J21" s="4">
        <f>0.63*E24</f>
        <v>30.24</v>
      </c>
      <c r="K21" s="12">
        <v>25.0</v>
      </c>
      <c r="L21" s="12">
        <v>28.0</v>
      </c>
      <c r="M21" s="12">
        <v>20.0</v>
      </c>
      <c r="N21" s="13">
        <v>35.0</v>
      </c>
      <c r="O21" s="12">
        <f>IF(E16=0, 0, I21/E16)*I25 + IF(E24=0, 0, J21/E24)*J25 + IF(E29=0, 0, K21/E29)*K25 + IF(E30=0, 0, L21/E30)*L25 + IF(E31=0, 0, M21/E31)*M25 + IF(E32=0, 0, N21/E32)*N25</f>
        <v>37.88043381</v>
      </c>
    </row>
    <row r="22">
      <c r="B22" s="8" t="s">
        <v>46</v>
      </c>
      <c r="C22" s="9"/>
      <c r="D22" s="8">
        <f t="shared" si="2"/>
        <v>0</v>
      </c>
      <c r="E22" s="8">
        <v>12.0</v>
      </c>
      <c r="F22" s="8">
        <v>1.0</v>
      </c>
      <c r="H22" s="8" t="s">
        <v>47</v>
      </c>
      <c r="I22" s="12">
        <f>0.6*E16</f>
        <v>120</v>
      </c>
      <c r="J22" s="4">
        <f>0.6*E24</f>
        <v>28.8</v>
      </c>
      <c r="K22" s="12">
        <v>15.0</v>
      </c>
      <c r="L22" s="12">
        <v>18.0</v>
      </c>
      <c r="M22" s="12">
        <v>10.0</v>
      </c>
      <c r="N22" s="13">
        <v>20.0</v>
      </c>
      <c r="O22" s="12">
        <f>IF(E16=0, 0, I22/E16)*I25 + IF(E24=0, 0, J22/E24)*J25 + IF(E29=0, 0, K22/E29)*K25 + IF(E30=0, 0, L22/E30)*L25 + IF(E31=0, 0, M22/E31)*M25 + IF(E32=0, 0, N22/E32)*N25</f>
        <v>27.88538024</v>
      </c>
    </row>
    <row r="23">
      <c r="B23" s="8" t="s">
        <v>48</v>
      </c>
      <c r="C23" s="9"/>
      <c r="D23" s="8">
        <f t="shared" si="2"/>
        <v>0</v>
      </c>
      <c r="E23" s="8">
        <v>12.0</v>
      </c>
      <c r="F23" s="8">
        <v>1.0</v>
      </c>
      <c r="H23" s="8" t="s">
        <v>49</v>
      </c>
      <c r="I23" s="12">
        <f>0*E16</f>
        <v>0</v>
      </c>
      <c r="J23" s="4">
        <f>0*E24</f>
        <v>0</v>
      </c>
      <c r="K23" s="12">
        <v>0.0</v>
      </c>
      <c r="L23" s="12">
        <v>0.0</v>
      </c>
      <c r="M23" s="12">
        <v>0.0</v>
      </c>
      <c r="N23" s="13">
        <v>0.0</v>
      </c>
      <c r="O23" s="12">
        <f>IF(E16=0, 0, I23/E16)*I25 + IF(E24=0, 0, J23/E24)*J25 + IF(E29=0, 0, K23/E29)*K25 + IF(E30=0, 0, L23/E30)*L25 + IF(E31=0, 0, M23/E31)*M25 + IF(E32=0, 0, N23/E32)*N25</f>
        <v>0</v>
      </c>
    </row>
    <row r="24">
      <c r="B24" s="8" t="s">
        <v>35</v>
      </c>
      <c r="C24" s="8" t="s">
        <v>36</v>
      </c>
      <c r="D24" s="8">
        <f t="array" ref="D24">SUM(IFERROR(LARGE(D19:D23,{1,2,3,4}),0))</f>
        <v>0</v>
      </c>
      <c r="E24" s="8">
        <f>12*MIN(SUM(F19:F25),COUNT(F19:F23)-1)</f>
        <v>48</v>
      </c>
      <c r="F24" s="8"/>
      <c r="H24" s="8" t="s">
        <v>7</v>
      </c>
      <c r="I24" s="12">
        <f>D16</f>
        <v>0</v>
      </c>
      <c r="J24" s="12">
        <f>D24</f>
        <v>0</v>
      </c>
      <c r="K24" s="12" t="str">
        <f>C29</f>
        <v/>
      </c>
      <c r="L24" s="12" t="str">
        <f>C30</f>
        <v/>
      </c>
      <c r="M24" s="12" t="str">
        <f>C31</f>
        <v/>
      </c>
      <c r="N24" s="12" t="str">
        <f>C32</f>
        <v/>
      </c>
      <c r="O24" s="12">
        <f>IF(E16=0, 0, I24/E16)*I25 + IF(E24=0, 0, J24/E24)*J25 + IF(E29=0, 0, K24/E29)*K25 + IF(E30=0, 0, L24/E30)*L25 + IF(E31=0, 0, M24/E31)*M25 + IF(E32=0, 0, N24/E32)*N25</f>
        <v>0</v>
      </c>
    </row>
    <row r="25">
      <c r="B25" s="8"/>
      <c r="C25" s="8"/>
      <c r="D25" s="8"/>
      <c r="E25" s="8"/>
      <c r="F25" s="8"/>
      <c r="H25" s="8" t="s">
        <v>50</v>
      </c>
      <c r="I25" s="12">
        <v>15.0</v>
      </c>
      <c r="J25" s="12">
        <v>10.0</v>
      </c>
      <c r="K25" s="12">
        <f>75*F29/(F29+F30+F31+2*F32)</f>
        <v>15</v>
      </c>
      <c r="L25" s="12">
        <f>75*F30/(F29+F30+F31+2*F32)</f>
        <v>15</v>
      </c>
      <c r="M25" s="12">
        <f>75*F31/(F29+F30+F31+2*F32)</f>
        <v>15</v>
      </c>
      <c r="N25" s="12">
        <f>75*2*F32/(F29+F30+F31+2*F32)</f>
        <v>30</v>
      </c>
      <c r="O25" s="12">
        <f>SUM(I25:N25)</f>
        <v>100</v>
      </c>
    </row>
    <row r="26">
      <c r="I26" s="7"/>
      <c r="J26" s="7"/>
      <c r="K26" s="7"/>
      <c r="L26" s="7"/>
    </row>
    <row r="27">
      <c r="I27" s="7"/>
      <c r="J27" s="7"/>
      <c r="K27" s="7"/>
      <c r="L27" s="7"/>
    </row>
    <row r="28">
      <c r="B28" s="11" t="s">
        <v>51</v>
      </c>
      <c r="C28" s="8" t="s">
        <v>7</v>
      </c>
      <c r="D28" s="8" t="s">
        <v>8</v>
      </c>
      <c r="E28" s="8" t="s">
        <v>9</v>
      </c>
      <c r="F28" s="8" t="s">
        <v>10</v>
      </c>
      <c r="I28" s="7"/>
      <c r="J28" s="7"/>
      <c r="K28" s="7"/>
      <c r="L28" s="7"/>
    </row>
    <row r="29">
      <c r="B29" s="8" t="s">
        <v>22</v>
      </c>
      <c r="C29" s="9"/>
      <c r="D29" s="8" t="s">
        <v>36</v>
      </c>
      <c r="E29" s="8">
        <v>85.0</v>
      </c>
      <c r="F29" s="8">
        <v>1.0</v>
      </c>
    </row>
    <row r="30">
      <c r="B30" s="8" t="s">
        <v>23</v>
      </c>
      <c r="C30" s="9"/>
      <c r="D30" s="8" t="s">
        <v>36</v>
      </c>
      <c r="E30" s="8">
        <v>78.0</v>
      </c>
      <c r="F30" s="8">
        <v>1.0</v>
      </c>
    </row>
    <row r="31">
      <c r="B31" s="8" t="s">
        <v>24</v>
      </c>
      <c r="C31" s="9"/>
      <c r="D31" s="8" t="s">
        <v>36</v>
      </c>
      <c r="E31" s="8">
        <v>79.0</v>
      </c>
      <c r="F31" s="8">
        <v>1.0</v>
      </c>
    </row>
    <row r="32">
      <c r="B32" s="8" t="s">
        <v>25</v>
      </c>
      <c r="C32" s="9"/>
      <c r="D32" s="8" t="s">
        <v>36</v>
      </c>
      <c r="E32" s="8">
        <v>123.0</v>
      </c>
      <c r="F32" s="8">
        <v>1.0</v>
      </c>
    </row>
    <row r="33">
      <c r="D33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9.75"/>
    <col customWidth="1" min="7" max="7" width="5.63"/>
    <col customWidth="1" min="8" max="13" width="10.5"/>
    <col customWidth="1" min="14" max="14" width="13.75"/>
  </cols>
  <sheetData>
    <row r="1">
      <c r="A1" s="14" t="s">
        <v>0</v>
      </c>
      <c r="B1" s="15" t="s">
        <v>1</v>
      </c>
      <c r="C1" s="16"/>
      <c r="D1" s="15"/>
      <c r="E1" s="15" t="s">
        <v>2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</row>
    <row r="2">
      <c r="A2" s="14" t="s">
        <v>3</v>
      </c>
      <c r="B2" s="15" t="s">
        <v>4</v>
      </c>
      <c r="C2" s="16"/>
      <c r="D2" s="15"/>
      <c r="E2" s="13">
        <f>100*(SUM(F5:F15)/COUNT(F5:F15)*0.15 + SUM(F19:F25)/COUNT(F19:F25)*0.1 + SUM(F29:F31)*0.15 + F32*0.3)</f>
        <v>70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</row>
    <row r="3">
      <c r="A3" s="15"/>
      <c r="B3" s="15"/>
      <c r="C3" s="16"/>
      <c r="D3" s="15"/>
      <c r="E3" s="15"/>
      <c r="F3" s="15"/>
      <c r="G3" s="15"/>
      <c r="H3" s="14" t="s">
        <v>5</v>
      </c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</row>
    <row r="4">
      <c r="A4" s="15"/>
      <c r="B4" s="17" t="s">
        <v>6</v>
      </c>
      <c r="C4" s="18" t="s">
        <v>7</v>
      </c>
      <c r="D4" s="19" t="s">
        <v>8</v>
      </c>
      <c r="E4" s="19" t="s">
        <v>9</v>
      </c>
      <c r="F4" s="19" t="s">
        <v>10</v>
      </c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</row>
    <row r="5">
      <c r="A5" s="15"/>
      <c r="B5" s="19" t="s">
        <v>11</v>
      </c>
      <c r="C5" s="20"/>
      <c r="D5" s="19">
        <f t="shared" ref="D5:D15" si="1">C5/E5*20</f>
        <v>0</v>
      </c>
      <c r="E5" s="19">
        <v>20.0</v>
      </c>
      <c r="F5" s="19">
        <v>1.0</v>
      </c>
      <c r="G5" s="15"/>
      <c r="H5" s="21" t="s">
        <v>12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</row>
    <row r="6">
      <c r="A6" s="15"/>
      <c r="B6" s="19" t="s">
        <v>13</v>
      </c>
      <c r="C6" s="20"/>
      <c r="D6" s="19">
        <f t="shared" si="1"/>
        <v>0</v>
      </c>
      <c r="E6" s="19">
        <v>20.0</v>
      </c>
      <c r="F6" s="19">
        <v>1.0</v>
      </c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</row>
    <row r="7">
      <c r="A7" s="15"/>
      <c r="B7" s="19" t="s">
        <v>14</v>
      </c>
      <c r="C7" s="20"/>
      <c r="D7" s="19">
        <f t="shared" si="1"/>
        <v>0</v>
      </c>
      <c r="E7" s="19">
        <v>20.0</v>
      </c>
      <c r="F7" s="19">
        <v>1.0</v>
      </c>
      <c r="G7" s="15"/>
      <c r="H7" s="21" t="s">
        <v>15</v>
      </c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</row>
    <row r="8">
      <c r="A8" s="15"/>
      <c r="B8" s="19" t="s">
        <v>16</v>
      </c>
      <c r="C8" s="20"/>
      <c r="D8" s="19">
        <f t="shared" si="1"/>
        <v>0</v>
      </c>
      <c r="E8" s="19">
        <v>20.0</v>
      </c>
      <c r="F8" s="19">
        <v>1.0</v>
      </c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</row>
    <row r="9">
      <c r="A9" s="15"/>
      <c r="B9" s="19" t="s">
        <v>17</v>
      </c>
      <c r="C9" s="20"/>
      <c r="D9" s="19">
        <f t="shared" si="1"/>
        <v>0</v>
      </c>
      <c r="E9" s="19">
        <v>20.0</v>
      </c>
      <c r="F9" s="19">
        <v>1.0</v>
      </c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>
      <c r="A10" s="15"/>
      <c r="B10" s="19" t="s">
        <v>18</v>
      </c>
      <c r="C10" s="20"/>
      <c r="D10" s="19">
        <f t="shared" si="1"/>
        <v>0</v>
      </c>
      <c r="E10" s="19">
        <v>20.0</v>
      </c>
      <c r="F10" s="19">
        <v>1.0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>
      <c r="A11" s="15"/>
      <c r="B11" s="19" t="s">
        <v>19</v>
      </c>
      <c r="C11" s="20"/>
      <c r="D11" s="19">
        <f t="shared" si="1"/>
        <v>0</v>
      </c>
      <c r="E11" s="19">
        <v>20.0</v>
      </c>
      <c r="F11" s="19">
        <v>1.0</v>
      </c>
      <c r="G11" s="15"/>
      <c r="H11" s="17" t="s">
        <v>20</v>
      </c>
      <c r="I11" s="19" t="s">
        <v>6</v>
      </c>
      <c r="J11" s="19" t="s">
        <v>21</v>
      </c>
      <c r="K11" s="19" t="s">
        <v>22</v>
      </c>
      <c r="L11" s="19" t="s">
        <v>23</v>
      </c>
      <c r="M11" s="19" t="s">
        <v>24</v>
      </c>
      <c r="N11" s="19" t="s">
        <v>26</v>
      </c>
      <c r="O11" s="16"/>
      <c r="P11" s="15"/>
      <c r="Q11" s="15"/>
      <c r="R11" s="15"/>
      <c r="S11" s="15"/>
    </row>
    <row r="12">
      <c r="A12" s="15"/>
      <c r="B12" s="19" t="s">
        <v>27</v>
      </c>
      <c r="C12" s="20"/>
      <c r="D12" s="19">
        <f t="shared" si="1"/>
        <v>0</v>
      </c>
      <c r="E12" s="19">
        <v>20.0</v>
      </c>
      <c r="F12" s="19">
        <v>1.0</v>
      </c>
      <c r="G12" s="15"/>
      <c r="H12" s="19" t="s">
        <v>28</v>
      </c>
      <c r="I12" s="13">
        <f>0.93*E16</f>
        <v>186</v>
      </c>
      <c r="J12" s="13">
        <f>0.93*E24</f>
        <v>44.64</v>
      </c>
      <c r="K12" s="13">
        <v>75.0</v>
      </c>
      <c r="L12" s="13">
        <v>70.0</v>
      </c>
      <c r="M12" s="13">
        <v>73.0</v>
      </c>
      <c r="N12" s="13">
        <f>IF(E16=0, 0, I12/E16)*I25 + IF(E24=0, 0, J12/E24)*J25 + IF(E29=0, 0, K12/E29)*K25 + IF(E30=0, 0, L12/E30)*L25 + IF(E31=0, 0, M12/E31)*M25</f>
        <v>90.84598679</v>
      </c>
      <c r="O12" s="15"/>
      <c r="P12" s="15"/>
      <c r="Q12" s="15"/>
      <c r="R12" s="15"/>
      <c r="S12" s="15"/>
    </row>
    <row r="13">
      <c r="A13" s="15"/>
      <c r="B13" s="19" t="s">
        <v>29</v>
      </c>
      <c r="C13" s="20"/>
      <c r="D13" s="19">
        <f t="shared" si="1"/>
        <v>0</v>
      </c>
      <c r="E13" s="19">
        <v>20.0</v>
      </c>
      <c r="F13" s="19">
        <v>1.0</v>
      </c>
      <c r="G13" s="15"/>
      <c r="H13" s="19" t="s">
        <v>30</v>
      </c>
      <c r="I13" s="13">
        <f>0.9*E16</f>
        <v>180</v>
      </c>
      <c r="J13" s="13">
        <f>0.9*E24</f>
        <v>43.2</v>
      </c>
      <c r="K13" s="13">
        <v>70.0</v>
      </c>
      <c r="L13" s="13">
        <v>66.0</v>
      </c>
      <c r="M13" s="13">
        <v>68.0</v>
      </c>
      <c r="N13" s="13">
        <f>IF(E16=0, 0, I13/E16)*I25 + IF(E24=0, 0, J13/E24)*J25 + IF(E29=0, 0, K13/E29)*K25 + IF(E30=0, 0, L13/E30)*L25 + IF(E31=0, 0, M13/E31)*M25</f>
        <v>85.76106879</v>
      </c>
      <c r="O13" s="16"/>
      <c r="P13" s="15"/>
      <c r="Q13" s="15"/>
      <c r="R13" s="15"/>
      <c r="S13" s="15"/>
    </row>
    <row r="14">
      <c r="A14" s="15"/>
      <c r="B14" s="19" t="s">
        <v>31</v>
      </c>
      <c r="C14" s="20"/>
      <c r="D14" s="19">
        <f t="shared" si="1"/>
        <v>0</v>
      </c>
      <c r="E14" s="19">
        <v>20.0</v>
      </c>
      <c r="F14" s="19">
        <v>1.0</v>
      </c>
      <c r="G14" s="15"/>
      <c r="H14" s="19" t="s">
        <v>32</v>
      </c>
      <c r="I14" s="13">
        <f>0.87*E16</f>
        <v>174</v>
      </c>
      <c r="J14" s="13">
        <f>0.87*E24</f>
        <v>41.76</v>
      </c>
      <c r="K14" s="13">
        <v>65.0</v>
      </c>
      <c r="L14" s="13">
        <v>62.0</v>
      </c>
      <c r="M14" s="13">
        <v>63.0</v>
      </c>
      <c r="N14" s="13">
        <f>IF(E16=0, 0, I14/E16)*I25 + IF(E24=0, 0, J14/E24)*J25 + IF(E29=0, 0, K14/E29)*K25 + IF(E30=0, 0, L14/E30)*L25 + IF(E31=0, 0, M14/E31)*M25</f>
        <v>80.67615079</v>
      </c>
      <c r="O14" s="15"/>
      <c r="P14" s="15"/>
      <c r="Q14" s="15"/>
      <c r="R14" s="15"/>
      <c r="S14" s="15"/>
    </row>
    <row r="15">
      <c r="A15" s="15"/>
      <c r="B15" s="19" t="s">
        <v>33</v>
      </c>
      <c r="C15" s="20"/>
      <c r="D15" s="19">
        <f t="shared" si="1"/>
        <v>0</v>
      </c>
      <c r="E15" s="19">
        <v>20.0</v>
      </c>
      <c r="F15" s="22">
        <v>1.0</v>
      </c>
      <c r="G15" s="15"/>
      <c r="H15" s="19" t="s">
        <v>34</v>
      </c>
      <c r="I15" s="13">
        <f>0.83*E16</f>
        <v>166</v>
      </c>
      <c r="J15" s="13">
        <f>0.83*E24</f>
        <v>39.84</v>
      </c>
      <c r="K15" s="13">
        <v>60.0</v>
      </c>
      <c r="L15" s="13">
        <v>58.0</v>
      </c>
      <c r="M15" s="13">
        <v>58.0</v>
      </c>
      <c r="N15" s="13">
        <f>IF(E16=0, 0, I15/E16)*I25 + IF(E24=0, 0, J15/E24)*J25 + IF(E29=0, 0, K15/E29)*K25 + IF(E30=0, 0, L15/E30)*L25 + IF(E31=0, 0, M15/E31)*M25</f>
        <v>75.34123279</v>
      </c>
      <c r="O15" s="15"/>
      <c r="P15" s="15"/>
      <c r="Q15" s="15"/>
      <c r="R15" s="15"/>
      <c r="S15" s="15"/>
    </row>
    <row r="16">
      <c r="A16" s="15"/>
      <c r="B16" s="19" t="s">
        <v>35</v>
      </c>
      <c r="C16" s="18" t="s">
        <v>36</v>
      </c>
      <c r="D16" s="19">
        <f t="array" ref="D16">SUM(IFERROR(LARGE(D5:D15,{1,2,3,4,5,6,7,8,9,10}),0))</f>
        <v>0</v>
      </c>
      <c r="E16" s="19">
        <f>20*MIN(SUM(F5:F15),COUNT(F5:F15)-1)</f>
        <v>200</v>
      </c>
      <c r="F16" s="15"/>
      <c r="G16" s="15"/>
      <c r="H16" s="19" t="s">
        <v>37</v>
      </c>
      <c r="I16" s="13">
        <f>0.8*E16</f>
        <v>160</v>
      </c>
      <c r="J16" s="13">
        <f>0.8*E24</f>
        <v>38.4</v>
      </c>
      <c r="K16" s="13">
        <v>55.0</v>
      </c>
      <c r="L16" s="13">
        <v>54.0</v>
      </c>
      <c r="M16" s="13">
        <v>53.0</v>
      </c>
      <c r="N16" s="13">
        <f>IF(E16=0, 0, I16/E16)*I25 + IF(E24=0, 0, J16/E24)*J25 + IF(E29=0, 0, K16/E29)*K25 + IF(E30=0, 0, L16/E30)*L25 + IF(E31=0, 0, M16/E31)*M25</f>
        <v>70.25631479</v>
      </c>
      <c r="O16" s="15"/>
      <c r="P16" s="15"/>
      <c r="Q16" s="15"/>
      <c r="R16" s="15"/>
      <c r="S16" s="15"/>
    </row>
    <row r="17">
      <c r="A17" s="15"/>
      <c r="B17" s="15"/>
      <c r="C17" s="16"/>
      <c r="D17" s="15"/>
      <c r="E17" s="15"/>
      <c r="F17" s="15"/>
      <c r="G17" s="15"/>
      <c r="H17" s="19" t="s">
        <v>38</v>
      </c>
      <c r="I17" s="13">
        <f>0.77*E16</f>
        <v>154</v>
      </c>
      <c r="J17" s="13">
        <f>0.77*E24</f>
        <v>36.96</v>
      </c>
      <c r="K17" s="13">
        <v>50.0</v>
      </c>
      <c r="L17" s="13">
        <v>50.0</v>
      </c>
      <c r="M17" s="13">
        <v>47.0</v>
      </c>
      <c r="N17" s="13">
        <f>IF(E16=0, 0, I17/E16)*I25 + IF(E24=0, 0, J17/E24)*J25 + IF(E29=0, 0, K17/E29)*K25 + IF(E30=0, 0, L17/E30)*L25 + IF(E31=0, 0, M17/E31)*M25</f>
        <v>64.8549411</v>
      </c>
      <c r="O17" s="15"/>
      <c r="P17" s="15"/>
      <c r="Q17" s="15"/>
      <c r="R17" s="15"/>
      <c r="S17" s="15"/>
    </row>
    <row r="18">
      <c r="A18" s="15"/>
      <c r="B18" s="17" t="s">
        <v>21</v>
      </c>
      <c r="C18" s="18" t="s">
        <v>7</v>
      </c>
      <c r="D18" s="19" t="s">
        <v>8</v>
      </c>
      <c r="E18" s="19" t="s">
        <v>9</v>
      </c>
      <c r="F18" s="19" t="s">
        <v>10</v>
      </c>
      <c r="G18" s="15"/>
      <c r="H18" s="19" t="s">
        <v>39</v>
      </c>
      <c r="I18" s="13">
        <f>0.73*E16</f>
        <v>146</v>
      </c>
      <c r="J18" s="13">
        <f>0.73*E24</f>
        <v>35.04</v>
      </c>
      <c r="K18" s="13">
        <v>44.0</v>
      </c>
      <c r="L18" s="13">
        <v>46.0</v>
      </c>
      <c r="M18" s="13">
        <v>41.0</v>
      </c>
      <c r="N18" s="13">
        <f>IF(E16=0, 0, I18/E16)*I25 + IF(E24=0, 0, J18/E24)*J25 + IF(E29=0, 0, K18/E29)*K25 + IF(E30=0, 0, L18/E30)*L25 + IF(E31=0, 0, M18/E31)*M25</f>
        <v>58.90944976</v>
      </c>
      <c r="O18" s="15"/>
      <c r="P18" s="15"/>
      <c r="Q18" s="15"/>
      <c r="R18" s="15"/>
      <c r="S18" s="15"/>
    </row>
    <row r="19">
      <c r="A19" s="15"/>
      <c r="B19" s="19" t="s">
        <v>40</v>
      </c>
      <c r="C19" s="20"/>
      <c r="D19" s="19">
        <f t="shared" ref="D19:D23" si="2">C19/E19*12</f>
        <v>0</v>
      </c>
      <c r="E19" s="19">
        <v>12.0</v>
      </c>
      <c r="F19" s="19">
        <v>1.0</v>
      </c>
      <c r="G19" s="15"/>
      <c r="H19" s="19" t="s">
        <v>41</v>
      </c>
      <c r="I19" s="13">
        <f>0.7*E16</f>
        <v>140</v>
      </c>
      <c r="J19" s="13">
        <f>0.7*E24</f>
        <v>33.6</v>
      </c>
      <c r="K19" s="13">
        <v>38.0</v>
      </c>
      <c r="L19" s="13">
        <v>40.0</v>
      </c>
      <c r="M19" s="13">
        <v>35.0</v>
      </c>
      <c r="N19" s="13">
        <f>IF(E16=0, 0, I19/E16)*I25 + IF(E24=0, 0, J19/E24)*J25 + IF(E29=0, 0, K19/E29)*K25 + IF(E30=0, 0, L19/E30)*L25 + IF(E31=0, 0, M19/E31)*M25</f>
        <v>52.57293278</v>
      </c>
      <c r="O19" s="15"/>
      <c r="P19" s="15"/>
      <c r="Q19" s="15"/>
      <c r="R19" s="15"/>
      <c r="S19" s="15"/>
    </row>
    <row r="20">
      <c r="A20" s="15"/>
      <c r="B20" s="19" t="s">
        <v>42</v>
      </c>
      <c r="C20" s="20"/>
      <c r="D20" s="19">
        <f t="shared" si="2"/>
        <v>0</v>
      </c>
      <c r="E20" s="19">
        <v>12.0</v>
      </c>
      <c r="F20" s="19">
        <v>1.0</v>
      </c>
      <c r="G20" s="15"/>
      <c r="H20" s="19" t="s">
        <v>43</v>
      </c>
      <c r="I20" s="13">
        <f>0.67*E16</f>
        <v>134</v>
      </c>
      <c r="J20" s="13">
        <f>0.67*E24</f>
        <v>32.16</v>
      </c>
      <c r="K20" s="13">
        <v>32.0</v>
      </c>
      <c r="L20" s="13">
        <v>34.0</v>
      </c>
      <c r="M20" s="13">
        <v>28.0</v>
      </c>
      <c r="N20" s="13">
        <f>IF(E16=0, 0, I20/E16)*I25 + IF(E24=0, 0, J20/E24)*J25 + IF(E29=0, 0, K20/E29)*K25 + IF(E30=0, 0, L20/E30)*L25 + IF(E31=0, 0, M20/E31)*M25</f>
        <v>45.9199601</v>
      </c>
      <c r="O20" s="15"/>
      <c r="P20" s="15"/>
      <c r="Q20" s="15"/>
      <c r="R20" s="15"/>
      <c r="S20" s="15"/>
    </row>
    <row r="21">
      <c r="A21" s="15"/>
      <c r="B21" s="19" t="s">
        <v>44</v>
      </c>
      <c r="C21" s="20"/>
      <c r="D21" s="19">
        <f t="shared" si="2"/>
        <v>0</v>
      </c>
      <c r="E21" s="19">
        <v>12.0</v>
      </c>
      <c r="F21" s="19">
        <v>1.0</v>
      </c>
      <c r="G21" s="15"/>
      <c r="H21" s="19" t="s">
        <v>45</v>
      </c>
      <c r="I21" s="13">
        <f>0.63*E16</f>
        <v>126</v>
      </c>
      <c r="J21" s="13">
        <f>0.63*E24</f>
        <v>30.24</v>
      </c>
      <c r="K21" s="13">
        <v>25.0</v>
      </c>
      <c r="L21" s="13">
        <v>28.0</v>
      </c>
      <c r="M21" s="13">
        <v>20.0</v>
      </c>
      <c r="N21" s="13">
        <f>IF(E16=0, 0, I21/E16)*I25 + IF(E24=0, 0, J21/E24)*J25 + IF(E29=0, 0, K21/E29)*K25 + IF(E30=0, 0, L21/E30)*L25 + IF(E31=0, 0, M21/E31)*M25</f>
        <v>38.40641407</v>
      </c>
      <c r="O21" s="15"/>
      <c r="P21" s="15"/>
      <c r="Q21" s="15"/>
      <c r="R21" s="15"/>
      <c r="S21" s="15"/>
    </row>
    <row r="22">
      <c r="A22" s="15"/>
      <c r="B22" s="19" t="s">
        <v>46</v>
      </c>
      <c r="C22" s="20"/>
      <c r="D22" s="19">
        <f t="shared" si="2"/>
        <v>0</v>
      </c>
      <c r="E22" s="19">
        <v>12.0</v>
      </c>
      <c r="F22" s="19">
        <v>1.0</v>
      </c>
      <c r="G22" s="15"/>
      <c r="H22" s="19" t="s">
        <v>47</v>
      </c>
      <c r="I22" s="13">
        <f>0.6*E16</f>
        <v>120</v>
      </c>
      <c r="J22" s="13">
        <f>0.6*E24</f>
        <v>28.8</v>
      </c>
      <c r="K22" s="13">
        <v>15.0</v>
      </c>
      <c r="L22" s="13">
        <v>18.0</v>
      </c>
      <c r="M22" s="13">
        <v>10.0</v>
      </c>
      <c r="N22" s="13">
        <f>IF(E16=0, 0, I22/E16)*I25 + IF(E24=0, 0, J22/E24)*J25 + IF(E29=0, 0, K22/E29)*K25 + IF(E30=0, 0, L22/E30)*L25 + IF(E31=0, 0, M22/E31)*M25</f>
        <v>28.34555244</v>
      </c>
      <c r="O22" s="15"/>
      <c r="P22" s="15"/>
      <c r="Q22" s="15"/>
      <c r="R22" s="15"/>
      <c r="S22" s="15"/>
    </row>
    <row r="23">
      <c r="A23" s="15"/>
      <c r="B23" s="19" t="s">
        <v>48</v>
      </c>
      <c r="C23" s="20"/>
      <c r="D23" s="19">
        <f t="shared" si="2"/>
        <v>0</v>
      </c>
      <c r="E23" s="19">
        <v>12.0</v>
      </c>
      <c r="F23" s="19">
        <v>1.0</v>
      </c>
      <c r="G23" s="15"/>
      <c r="H23" s="19" t="s">
        <v>49</v>
      </c>
      <c r="I23" s="13">
        <f>0*E16</f>
        <v>0</v>
      </c>
      <c r="J23" s="13">
        <f>0*E24</f>
        <v>0</v>
      </c>
      <c r="K23" s="13">
        <v>0.0</v>
      </c>
      <c r="L23" s="13">
        <v>0.0</v>
      </c>
      <c r="M23" s="13">
        <v>0.0</v>
      </c>
      <c r="N23" s="13">
        <f>IF(E16=0, 0, I23/E16)*I25 + IF(E24=0, 0, J23/E24)*J25 + IF(E29=0, 0, K23/E29)*K25 + IF(E30=0, 0, L23/E30)*L25 + IF(E31=0, 0, M23/E31)*M25</f>
        <v>0</v>
      </c>
      <c r="O23" s="15"/>
      <c r="P23" s="15"/>
      <c r="Q23" s="15"/>
      <c r="R23" s="15"/>
      <c r="S23" s="15"/>
    </row>
    <row r="24">
      <c r="A24" s="15"/>
      <c r="B24" s="19" t="s">
        <v>35</v>
      </c>
      <c r="C24" s="18" t="s">
        <v>36</v>
      </c>
      <c r="D24" s="19">
        <f t="array" ref="D24">SUM(IFERROR(LARGE(D19:D23,{1,2,3,4}),0))</f>
        <v>0</v>
      </c>
      <c r="E24" s="19">
        <f>12*MIN(SUM(F19:F25),COUNT(F19:F23)-1)</f>
        <v>48</v>
      </c>
      <c r="F24" s="15"/>
      <c r="G24" s="15"/>
      <c r="H24" s="19" t="s">
        <v>7</v>
      </c>
      <c r="I24" s="13">
        <f>D16</f>
        <v>0</v>
      </c>
      <c r="J24" s="13">
        <f>D24</f>
        <v>0</v>
      </c>
      <c r="K24" s="23" t="str">
        <f>C29</f>
        <v/>
      </c>
      <c r="L24" s="23" t="str">
        <f>C30</f>
        <v/>
      </c>
      <c r="M24" s="23" t="str">
        <f>C31</f>
        <v/>
      </c>
      <c r="N24" s="13">
        <f>IF(E16=0, 0, I24/E16)*I25 + IF(E24=0, 0, J24/E24)*J25 + IF(E29=0, 0, K24/E29)*K25 + IF(E30=0, 0, L24/E30)*L25 + IF(E31=0, 0, M24/E31)*M25</f>
        <v>0</v>
      </c>
      <c r="O24" s="15"/>
      <c r="P24" s="15"/>
      <c r="Q24" s="15"/>
      <c r="R24" s="15"/>
      <c r="S24" s="15"/>
    </row>
    <row r="25">
      <c r="A25" s="15"/>
      <c r="B25" s="15"/>
      <c r="C25" s="16"/>
      <c r="D25" s="15"/>
      <c r="E25" s="15"/>
      <c r="F25" s="15"/>
      <c r="G25" s="15"/>
      <c r="H25" s="19" t="s">
        <v>50</v>
      </c>
      <c r="I25" s="13">
        <v>15.0</v>
      </c>
      <c r="J25" s="13">
        <v>10.0</v>
      </c>
      <c r="K25" s="13">
        <f>75*F29/(F29+F30+F31+2*F32)</f>
        <v>25</v>
      </c>
      <c r="L25" s="13">
        <f>75*F30/(F29+F30+F31+2*F32)</f>
        <v>25</v>
      </c>
      <c r="M25" s="13">
        <f>75*F31/(F29+F30+F31+2*F32)</f>
        <v>25</v>
      </c>
      <c r="N25" s="13">
        <f>SUM(I25:M25)</f>
        <v>100</v>
      </c>
      <c r="O25" s="15"/>
      <c r="P25" s="15"/>
      <c r="Q25" s="15"/>
      <c r="R25" s="15"/>
      <c r="S25" s="15"/>
    </row>
    <row r="26">
      <c r="A26" s="15"/>
      <c r="B26" s="15"/>
      <c r="C26" s="16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</row>
    <row r="27">
      <c r="A27" s="15"/>
      <c r="B27" s="15"/>
      <c r="C27" s="16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</row>
    <row r="28">
      <c r="A28" s="15"/>
      <c r="B28" s="17" t="s">
        <v>51</v>
      </c>
      <c r="C28" s="18" t="s">
        <v>7</v>
      </c>
      <c r="D28" s="19" t="s">
        <v>8</v>
      </c>
      <c r="E28" s="19" t="s">
        <v>9</v>
      </c>
      <c r="F28" s="19" t="s">
        <v>10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</row>
    <row r="29">
      <c r="A29" s="15"/>
      <c r="B29" s="19" t="s">
        <v>22</v>
      </c>
      <c r="C29" s="20"/>
      <c r="D29" s="19" t="s">
        <v>36</v>
      </c>
      <c r="E29" s="19">
        <v>85.0</v>
      </c>
      <c r="F29" s="19">
        <v>1.0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</row>
    <row r="30">
      <c r="A30" s="15"/>
      <c r="B30" s="19" t="s">
        <v>23</v>
      </c>
      <c r="C30" s="20"/>
      <c r="D30" s="19" t="s">
        <v>36</v>
      </c>
      <c r="E30" s="19">
        <v>78.0</v>
      </c>
      <c r="F30" s="19">
        <v>1.0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</row>
    <row r="31">
      <c r="A31" s="15"/>
      <c r="B31" s="19" t="s">
        <v>24</v>
      </c>
      <c r="C31" s="20"/>
      <c r="D31" s="19" t="s">
        <v>36</v>
      </c>
      <c r="E31" s="19">
        <v>79.0</v>
      </c>
      <c r="F31" s="19">
        <v>1.0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</row>
    <row r="32">
      <c r="A32" s="15"/>
      <c r="B32" s="19" t="s">
        <v>25</v>
      </c>
      <c r="C32" s="20"/>
      <c r="D32" s="19" t="s">
        <v>36</v>
      </c>
      <c r="E32" s="19">
        <v>0.0</v>
      </c>
      <c r="F32" s="19">
        <v>0.0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</row>
    <row r="33">
      <c r="A33" s="15"/>
      <c r="B33" s="15"/>
      <c r="C33" s="16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</row>
    <row r="34">
      <c r="A34" s="15"/>
      <c r="B34" s="15"/>
      <c r="C34" s="16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</row>
    <row r="35">
      <c r="A35" s="15"/>
      <c r="B35" s="15"/>
      <c r="C35" s="16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</row>
    <row r="36">
      <c r="A36" s="15"/>
      <c r="B36" s="15"/>
      <c r="C36" s="16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</row>
    <row r="37">
      <c r="A37" s="15"/>
      <c r="B37" s="15"/>
      <c r="C37" s="16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>
      <c r="A38" s="15"/>
      <c r="B38" s="15"/>
      <c r="C38" s="16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>
      <c r="A39" s="15"/>
      <c r="B39" s="15"/>
      <c r="C39" s="16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>
      <c r="A40" s="15"/>
      <c r="B40" s="15"/>
      <c r="C40" s="16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>
      <c r="A41" s="15"/>
      <c r="B41" s="15"/>
      <c r="C41" s="16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>
      <c r="A42" s="15"/>
      <c r="B42" s="15"/>
      <c r="C42" s="16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</row>
  </sheetData>
  <drawing r:id="rId1"/>
</worksheet>
</file>